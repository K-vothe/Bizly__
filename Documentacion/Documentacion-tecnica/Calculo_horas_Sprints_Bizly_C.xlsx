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Calibri"/>
      <b val="1"/>
      <color theme="1"/>
      <sz val="14"/>
    </font>
    <font>
      <name val="Calibri"/>
      <color theme="1"/>
      <sz val="14"/>
    </font>
    <font/>
    <font>
      <name val="Calibri"/>
      <b val="1"/>
      <color rgb="FFFFFFFF"/>
      <sz val="14"/>
    </font>
    <font>
      <name val="Calibri"/>
      <b val="1"/>
      <color theme="0"/>
      <sz val="14"/>
    </font>
    <font>
      <name val="Calibri"/>
      <color theme="1"/>
      <scheme val="minor"/>
    </font>
    <font>
      <name val="Calibri"/>
      <color theme="1"/>
      <sz val="11"/>
    </font>
  </fonts>
  <fills count="4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5B9BD5"/>
        <bgColor rgb="FF5B9BD5"/>
      </patternFill>
    </fill>
  </fills>
  <borders count="24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2" applyAlignment="1" pivotButton="0" quotePrefix="0" xfId="0">
      <alignment horizontal="center"/>
    </xf>
    <xf numFmtId="0" fontId="3" fillId="0" borderId="3" pivotButton="0" quotePrefix="0" xfId="0"/>
    <xf numFmtId="0" fontId="3" fillId="0" borderId="4" pivotButton="0" quotePrefix="0" xfId="0"/>
    <xf numFmtId="0" fontId="4" fillId="2" borderId="5" pivotButton="0" quotePrefix="0" xfId="0"/>
    <xf numFmtId="0" fontId="4" fillId="2" borderId="6" applyAlignment="1" pivotButton="0" quotePrefix="0" xfId="0">
      <alignment horizontal="center"/>
    </xf>
    <xf numFmtId="0" fontId="5" fillId="2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5" fillId="2" borderId="9" pivotButton="0" quotePrefix="0" xfId="0"/>
    <xf numFmtId="0" fontId="5" fillId="2" borderId="10" pivotButton="0" quotePrefix="0" xfId="0"/>
    <xf numFmtId="0" fontId="5" fillId="2" borderId="11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0" pivotButton="0" quotePrefix="0" xfId="0"/>
    <xf numFmtId="0" fontId="2" fillId="0" borderId="12" applyAlignment="1" pivotButton="0" quotePrefix="0" xfId="0">
      <alignment horizontal="center"/>
    </xf>
    <xf numFmtId="0" fontId="3" fillId="0" borderId="13" pivotButton="0" quotePrefix="0" xfId="0"/>
    <xf numFmtId="0" fontId="2" fillId="0" borderId="14" pivotButton="0" quotePrefix="0" xfId="0"/>
    <xf numFmtId="0" fontId="2" fillId="0" borderId="15" pivotButton="0" quotePrefix="0" xfId="0"/>
    <xf numFmtId="0" fontId="2" fillId="0" borderId="15" pivotButton="0" quotePrefix="0" xfId="0"/>
    <xf numFmtId="0" fontId="3" fillId="0" borderId="16" pivotButton="0" quotePrefix="0" xfId="0"/>
    <xf numFmtId="0" fontId="4" fillId="2" borderId="10" pivotButton="0" quotePrefix="0" xfId="0"/>
    <xf numFmtId="0" fontId="6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vertical="bottom"/>
    </xf>
    <xf numFmtId="0" fontId="7" fillId="0" borderId="2" applyAlignment="1" pivotButton="0" quotePrefix="0" xfId="0">
      <alignment vertical="bottom"/>
    </xf>
    <xf numFmtId="0" fontId="4" fillId="3" borderId="5" applyAlignment="1" pivotButton="0" quotePrefix="0" xfId="0">
      <alignment vertical="bottom"/>
    </xf>
    <xf numFmtId="0" fontId="7" fillId="3" borderId="6" applyAlignment="1" pivotButton="0" quotePrefix="0" xfId="0">
      <alignment vertical="bottom"/>
    </xf>
    <xf numFmtId="0" fontId="4" fillId="3" borderId="6" applyAlignment="1" pivotButton="0" quotePrefix="0" xfId="0">
      <alignment vertical="bottom"/>
    </xf>
    <xf numFmtId="0" fontId="4" fillId="3" borderId="9" applyAlignment="1" pivotButton="0" quotePrefix="0" xfId="0">
      <alignment vertical="bottom"/>
    </xf>
    <xf numFmtId="0" fontId="4" fillId="3" borderId="10" applyAlignment="1" pivotButton="0" quotePrefix="0" xfId="0">
      <alignment vertical="bottom"/>
    </xf>
    <xf numFmtId="0" fontId="4" fillId="3" borderId="11" applyAlignment="1" pivotButton="0" quotePrefix="0" xfId="0">
      <alignment vertical="bottom"/>
    </xf>
    <xf numFmtId="0" fontId="2" fillId="0" borderId="9" applyAlignment="1" pivotButton="0" quotePrefix="0" xfId="0">
      <alignment vertical="bottom"/>
    </xf>
    <xf numFmtId="0" fontId="2" fillId="0" borderId="10" applyAlignment="1" pivotButton="0" quotePrefix="0" xfId="0">
      <alignment horizontal="right" vertical="bottom"/>
    </xf>
    <xf numFmtId="0" fontId="2" fillId="0" borderId="10" applyAlignment="1" pivotButton="0" quotePrefix="0" xfId="0">
      <alignment horizontal="right" vertical="bottom"/>
    </xf>
    <xf numFmtId="0" fontId="2" fillId="0" borderId="12" applyAlignment="1" pivotButton="0" quotePrefix="0" xfId="0">
      <alignment horizontal="center" vertical="bottom"/>
    </xf>
    <xf numFmtId="0" fontId="2" fillId="0" borderId="14" applyAlignment="1" pivotButton="0" quotePrefix="0" xfId="0">
      <alignment vertical="bottom"/>
    </xf>
    <xf numFmtId="0" fontId="2" fillId="0" borderId="15" applyAlignment="1" pivotButton="0" quotePrefix="0" xfId="0">
      <alignment horizontal="right" vertical="bottom"/>
    </xf>
    <xf numFmtId="0" fontId="2" fillId="0" borderId="15" applyAlignment="1" pivotButton="0" quotePrefix="0" xfId="0">
      <alignment horizontal="right" vertical="bottom"/>
    </xf>
    <xf numFmtId="0" fontId="0" fillId="0" borderId="0" pivotButton="0" quotePrefix="0" xfId="0"/>
    <xf numFmtId="0" fontId="2" fillId="0" borderId="17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5" fillId="2" borderId="20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22" applyAlignment="1" pivotButton="0" quotePrefix="0" xfId="0">
      <alignment horizontal="center"/>
    </xf>
    <xf numFmtId="0" fontId="0" fillId="0" borderId="13" pivotButton="0" quotePrefix="0" xfId="0"/>
    <xf numFmtId="0" fontId="0" fillId="0" borderId="16" pivotButton="0" quotePrefix="0" xfId="0"/>
    <xf numFmtId="0" fontId="7" fillId="0" borderId="17" applyAlignment="1" pivotButton="0" quotePrefix="0" xfId="0">
      <alignment vertical="bottom"/>
    </xf>
    <xf numFmtId="0" fontId="4" fillId="3" borderId="20" applyAlignment="1" pivotButton="0" quotePrefix="0" xfId="0">
      <alignment vertical="bottom"/>
    </xf>
    <xf numFmtId="0" fontId="2" fillId="0" borderId="22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20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40" min="1" max="1"/>
    <col width="27.29" customWidth="1" style="40" min="2" max="2"/>
    <col width="11.43" customWidth="1" style="40" min="3" max="3"/>
    <col width="17.29" customWidth="1" style="40" min="4" max="4"/>
    <col width="20.29" customWidth="1" style="40" min="5" max="5"/>
    <col width="19" customWidth="1" style="40" min="6" max="6"/>
    <col width="33.71" customWidth="1" style="40" min="7" max="7"/>
    <col width="15" customWidth="1" style="40" min="8" max="8"/>
    <col width="10.71" customWidth="1" style="40" min="9" max="26"/>
  </cols>
  <sheetData>
    <row r="2">
      <c r="B2" s="24" t="inlineStr">
        <is>
          <t>SPRINT 1</t>
        </is>
      </c>
      <c r="C2" s="41" t="n"/>
      <c r="D2" s="42" t="n"/>
      <c r="E2" s="42" t="n"/>
      <c r="F2" s="42" t="n"/>
      <c r="G2" s="42" t="n"/>
      <c r="H2" s="43" t="n"/>
    </row>
    <row r="3">
      <c r="B3" s="5" t="inlineStr">
        <is>
          <t>Semanas destinadas</t>
        </is>
      </c>
      <c r="C3" s="6" t="n"/>
      <c r="D3" s="7">
        <f>if(C3&gt;4,"No viable","Viable")</f>
        <v/>
      </c>
      <c r="E3" s="44">
        <f>CONCATENATE("Las semanas destinadas son: "&amp; C3)</f>
        <v/>
      </c>
      <c r="F3" s="45" t="n"/>
      <c r="G3" s="45" t="n"/>
      <c r="H3" s="46" t="n"/>
    </row>
    <row r="4">
      <c r="B4" s="10" t="inlineStr">
        <is>
          <t>HISTORIA DE USUARIO</t>
        </is>
      </c>
      <c r="C4" s="11" t="inlineStr">
        <is>
          <t>PUNTAJE</t>
        </is>
      </c>
      <c r="D4" s="11" t="inlineStr">
        <is>
          <t>INTEGRANTES</t>
        </is>
      </c>
      <c r="E4" s="11" t="inlineStr">
        <is>
          <t>DÍAS DEL SPRINT</t>
        </is>
      </c>
      <c r="F4" s="11" t="inlineStr">
        <is>
          <t>HORAS DEL DÍA</t>
        </is>
      </c>
      <c r="G4" s="11" t="inlineStr">
        <is>
          <t>CAPACIDAD TOTAL (HORAS)</t>
        </is>
      </c>
      <c r="H4" s="12" t="inlineStr">
        <is>
          <t xml:space="preserve">VELOCIDAD </t>
        </is>
      </c>
    </row>
    <row r="5">
      <c r="B5" s="13" t="inlineStr">
        <is>
          <t>H1 Iniciar sesión seguro</t>
        </is>
      </c>
      <c r="C5" s="15" t="n">
        <v>3</v>
      </c>
      <c r="D5" s="15" t="n">
        <v>4</v>
      </c>
      <c r="E5" s="15" t="n">
        <v>3</v>
      </c>
      <c r="F5" s="15" t="n">
        <v>4</v>
      </c>
      <c r="G5" s="15">
        <f>D5*E5*F5</f>
        <v/>
      </c>
      <c r="H5" s="47">
        <f>AVERAGE(C5:C8)</f>
        <v/>
      </c>
    </row>
    <row r="6">
      <c r="B6" s="13" t="inlineStr">
        <is>
          <t>H2 Registrar productos</t>
        </is>
      </c>
      <c r="C6" s="15" t="n">
        <v>3</v>
      </c>
      <c r="D6" s="15" t="n">
        <v>4</v>
      </c>
      <c r="E6" s="15" t="n">
        <v>4</v>
      </c>
      <c r="F6" s="15" t="n">
        <v>4</v>
      </c>
      <c r="G6" s="15">
        <f>D6*E6*F6</f>
        <v/>
      </c>
      <c r="H6" s="48" t="n"/>
    </row>
    <row r="7">
      <c r="B7" s="13" t="inlineStr">
        <is>
          <t>H3 Listar catálogo base</t>
        </is>
      </c>
      <c r="C7" s="15" t="n">
        <v>2</v>
      </c>
      <c r="D7" s="15" t="n">
        <v>4</v>
      </c>
      <c r="E7" s="15" t="n">
        <v>5</v>
      </c>
      <c r="F7" s="15" t="n">
        <v>4</v>
      </c>
      <c r="G7" s="15">
        <f>D7*E7*F7</f>
        <v/>
      </c>
      <c r="H7" s="48" t="n"/>
    </row>
    <row r="8">
      <c r="B8" s="18" t="inlineStr">
        <is>
          <t>H4 Registro de clientes</t>
        </is>
      </c>
      <c r="C8" s="20" t="n">
        <v>2</v>
      </c>
      <c r="D8" s="20" t="n">
        <v>4</v>
      </c>
      <c r="E8" s="15" t="n">
        <v>10</v>
      </c>
      <c r="F8" s="20" t="n">
        <v>4</v>
      </c>
      <c r="G8" s="20">
        <f>D8*E8*F8</f>
        <v/>
      </c>
      <c r="H8" s="49" t="n"/>
    </row>
    <row r="10" ht="15.75" customHeight="1" s="40">
      <c r="B10" s="24" t="inlineStr">
        <is>
          <t>SPRINT 2</t>
        </is>
      </c>
      <c r="C10" s="41" t="n"/>
      <c r="D10" s="42" t="n"/>
      <c r="E10" s="42" t="n"/>
      <c r="F10" s="42" t="n"/>
      <c r="G10" s="42" t="n"/>
      <c r="H10" s="43" t="n"/>
    </row>
    <row r="11" ht="15.75" customHeight="1" s="40">
      <c r="B11" s="5" t="inlineStr">
        <is>
          <t>Semanas destinadas</t>
        </is>
      </c>
      <c r="C11" s="6" t="n"/>
      <c r="D11" s="7">
        <f>if(C11&gt;4,"No viable","Viable")</f>
        <v/>
      </c>
      <c r="E11" s="44">
        <f>CONCATENATE("Las semanas destinadas son: "&amp; C11)</f>
        <v/>
      </c>
      <c r="F11" s="45" t="n"/>
      <c r="G11" s="45" t="n"/>
      <c r="H11" s="46" t="n"/>
    </row>
    <row r="12" ht="15.75" customHeight="1" s="40">
      <c r="B12" s="10" t="inlineStr">
        <is>
          <t>HISTORIA DE USUARIO</t>
        </is>
      </c>
      <c r="C12" s="11" t="inlineStr">
        <is>
          <t>PUNTAJE</t>
        </is>
      </c>
      <c r="D12" s="22" t="inlineStr">
        <is>
          <t>INTEGRANTES</t>
        </is>
      </c>
      <c r="E12" s="11" t="inlineStr">
        <is>
          <t>DÍAS DEL SPRINT</t>
        </is>
      </c>
      <c r="F12" s="11" t="inlineStr">
        <is>
          <t>HORAS DEL DÍA</t>
        </is>
      </c>
      <c r="G12" s="11" t="inlineStr">
        <is>
          <t>CAPACIDAD TOTAL (HORAS)</t>
        </is>
      </c>
      <c r="H12" s="12" t="inlineStr">
        <is>
          <t xml:space="preserve">VELOCIDAD </t>
        </is>
      </c>
    </row>
    <row r="13" ht="15.75" customHeight="1" s="40">
      <c r="B13" s="13" t="inlineStr">
        <is>
          <t>H1 Actualizar productos</t>
        </is>
      </c>
      <c r="C13" s="15" t="n">
        <v>2</v>
      </c>
      <c r="D13" s="15" t="n">
        <v>4</v>
      </c>
      <c r="E13" s="15" t="n">
        <v>4</v>
      </c>
      <c r="F13" s="15" t="n">
        <v>4</v>
      </c>
      <c r="G13" s="15">
        <f>D13*E13*F13</f>
        <v/>
      </c>
      <c r="H13" s="47">
        <f>AVERAGE(C13:C16)</f>
        <v/>
      </c>
    </row>
    <row r="14" ht="15.75" customHeight="1" s="40">
      <c r="B14" s="13" t="inlineStr">
        <is>
          <t>H2 Alertas de stock bajo</t>
        </is>
      </c>
      <c r="C14" s="15" t="n">
        <v>2</v>
      </c>
      <c r="D14" s="15" t="n">
        <v>4</v>
      </c>
      <c r="E14" s="15" t="n">
        <v>2</v>
      </c>
      <c r="F14" s="15" t="n">
        <v>4</v>
      </c>
      <c r="G14" s="15">
        <f>D14*E14*F14</f>
        <v/>
      </c>
      <c r="H14" s="48" t="n"/>
    </row>
    <row r="15" ht="15.75" customHeight="1" s="40">
      <c r="B15" s="13" t="inlineStr">
        <is>
          <t>H3 Gestión de proveedores</t>
        </is>
      </c>
      <c r="C15" s="15" t="n">
        <v>3</v>
      </c>
      <c r="D15" s="15" t="n">
        <v>4</v>
      </c>
      <c r="E15" s="15" t="n">
        <v>4</v>
      </c>
      <c r="F15" s="15" t="n">
        <v>4</v>
      </c>
      <c r="G15" s="15">
        <f>D15*E15*F15</f>
        <v/>
      </c>
      <c r="H15" s="48" t="n"/>
    </row>
    <row r="16" ht="15.75" customHeight="1" s="40">
      <c r="B16" s="18" t="inlineStr">
        <is>
          <t>H4 Categorización items</t>
        </is>
      </c>
      <c r="C16" s="20" t="n">
        <v>3</v>
      </c>
      <c r="D16" s="20" t="n">
        <v>4</v>
      </c>
      <c r="E16" s="15" t="n">
        <v>2</v>
      </c>
      <c r="F16" s="20" t="n">
        <v>4</v>
      </c>
      <c r="G16" s="20">
        <f>D16*E16*F16</f>
        <v/>
      </c>
      <c r="H16" s="49" t="n"/>
    </row>
    <row r="17" ht="15.75" customHeight="1" s="40"/>
    <row r="18" ht="15.75" customHeight="1" s="40">
      <c r="B18" s="24" t="inlineStr">
        <is>
          <t>SPRINT 3</t>
        </is>
      </c>
      <c r="C18" s="41" t="n"/>
      <c r="D18" s="42" t="n"/>
      <c r="E18" s="42" t="n"/>
      <c r="F18" s="42" t="n"/>
      <c r="G18" s="42" t="n"/>
      <c r="H18" s="43" t="n"/>
    </row>
    <row r="19" ht="15.75" customHeight="1" s="40">
      <c r="B19" s="5" t="inlineStr">
        <is>
          <t>Semanas destinadas</t>
        </is>
      </c>
      <c r="C19" s="6" t="n"/>
      <c r="D19" s="7">
        <f>if(C19&gt;4,"No viable","Viable")</f>
        <v/>
      </c>
      <c r="E19" s="44">
        <f>CONCATENATE("Las semanas destinadas son: "&amp; C19)</f>
        <v/>
      </c>
      <c r="F19" s="45" t="n"/>
      <c r="G19" s="45" t="n"/>
      <c r="H19" s="46" t="n"/>
    </row>
    <row r="20" ht="15.75" customHeight="1" s="40">
      <c r="B20" s="10" t="inlineStr">
        <is>
          <t>HISTORIA DE USUARIO</t>
        </is>
      </c>
      <c r="C20" s="11" t="inlineStr">
        <is>
          <t>PUNTAJE</t>
        </is>
      </c>
      <c r="D20" s="22" t="inlineStr">
        <is>
          <t>INTEGRANTES</t>
        </is>
      </c>
      <c r="E20" s="11" t="inlineStr">
        <is>
          <t>DÍAS DEL SPRINT</t>
        </is>
      </c>
      <c r="F20" s="11" t="inlineStr">
        <is>
          <t>HORAS DEL DÍA</t>
        </is>
      </c>
      <c r="G20" s="11" t="inlineStr">
        <is>
          <t>CAPACIDAD TOTAL (HORAS)</t>
        </is>
      </c>
      <c r="H20" s="12" t="inlineStr">
        <is>
          <t xml:space="preserve">VELOCIDAD </t>
        </is>
      </c>
    </row>
    <row r="21" ht="15.75" customHeight="1" s="40">
      <c r="B21" s="13" t="inlineStr">
        <is>
          <t>H1 Procesar venta/factura</t>
        </is>
      </c>
      <c r="C21" s="15" t="n">
        <v>5</v>
      </c>
      <c r="D21" s="15" t="n">
        <v>4</v>
      </c>
      <c r="E21" s="15" t="n">
        <v>1</v>
      </c>
      <c r="F21" s="15" t="n">
        <v>4</v>
      </c>
      <c r="G21" s="15">
        <f>D21*E21*F21</f>
        <v/>
      </c>
      <c r="H21" s="47">
        <f>AVERAGE(C21:C24)</f>
        <v/>
      </c>
    </row>
    <row r="22" ht="15.75" customHeight="1" s="40">
      <c r="B22" s="13" t="inlineStr">
        <is>
          <t>H2 Devolución de items</t>
        </is>
      </c>
      <c r="C22" s="15" t="n">
        <v>5</v>
      </c>
      <c r="D22" s="15" t="n">
        <v>4</v>
      </c>
      <c r="E22" s="15" t="n">
        <v>3</v>
      </c>
      <c r="F22" s="15" t="n">
        <v>4</v>
      </c>
      <c r="G22" s="15">
        <f>D22*E22*F22</f>
        <v/>
      </c>
      <c r="H22" s="48" t="n"/>
    </row>
    <row r="23" ht="15.75" customHeight="1" s="40">
      <c r="B23" s="13" t="inlineStr">
        <is>
          <t>H3 Métodos de pago base</t>
        </is>
      </c>
      <c r="C23" s="15" t="n">
        <v>3</v>
      </c>
      <c r="D23" s="15" t="n">
        <v>4</v>
      </c>
      <c r="E23" s="15" t="n">
        <v>7</v>
      </c>
      <c r="F23" s="15" t="n">
        <v>4</v>
      </c>
      <c r="G23" s="15">
        <f>D23*E23*F23</f>
        <v/>
      </c>
      <c r="H23" s="48" t="n"/>
    </row>
    <row r="24" ht="15.75" customHeight="1" s="40">
      <c r="B24" s="18" t="inlineStr">
        <is>
          <t>H4 Aplicar descuentos</t>
        </is>
      </c>
      <c r="C24" s="20" t="n">
        <v>2</v>
      </c>
      <c r="D24" s="20" t="n">
        <v>4</v>
      </c>
      <c r="E24" s="15" t="n">
        <v>6</v>
      </c>
      <c r="F24" s="20" t="n">
        <v>4</v>
      </c>
      <c r="G24" s="20">
        <f>D24*E24*F24</f>
        <v/>
      </c>
      <c r="H24" s="49" t="n"/>
    </row>
    <row r="25" ht="15.75" customHeight="1" s="40">
      <c r="E25" s="15" t="n"/>
    </row>
    <row r="26" ht="15.75" customHeight="1" s="40">
      <c r="B26" s="24" t="inlineStr">
        <is>
          <t>SPRINT 4</t>
        </is>
      </c>
      <c r="C26" s="41" t="n"/>
      <c r="D26" s="42" t="n"/>
      <c r="E26" s="42" t="n"/>
      <c r="F26" s="42" t="n"/>
      <c r="G26" s="42" t="n"/>
      <c r="H26" s="43" t="n"/>
    </row>
    <row r="27" ht="15.75" customHeight="1" s="40">
      <c r="B27" s="5" t="inlineStr">
        <is>
          <t>Semanas destinadas</t>
        </is>
      </c>
      <c r="C27" s="6" t="n"/>
      <c r="D27" s="7">
        <f>if(C27&gt;4,"No viable","Viable")</f>
        <v/>
      </c>
      <c r="E27" s="44">
        <f>CONCATENATE("Las semanas destinadas son: "&amp; C27)</f>
        <v/>
      </c>
      <c r="F27" s="45" t="n"/>
      <c r="G27" s="45" t="n"/>
      <c r="H27" s="46" t="n"/>
    </row>
    <row r="28" ht="15.75" customHeight="1" s="40">
      <c r="B28" s="10" t="inlineStr">
        <is>
          <t>HISTORIA DE USUARIO</t>
        </is>
      </c>
      <c r="C28" s="11" t="inlineStr">
        <is>
          <t>PUNTAJE</t>
        </is>
      </c>
      <c r="D28" s="11" t="inlineStr">
        <is>
          <t>INTEGRANTES</t>
        </is>
      </c>
      <c r="E28" s="11" t="inlineStr">
        <is>
          <t>DÍAS DEL SPRINT</t>
        </is>
      </c>
      <c r="F28" s="11" t="inlineStr">
        <is>
          <t>HORAS DEL DÍA</t>
        </is>
      </c>
      <c r="G28" s="11" t="inlineStr">
        <is>
          <t>CAPACIDAD TOTAL (HORAS)</t>
        </is>
      </c>
      <c r="H28" s="12" t="inlineStr">
        <is>
          <t xml:space="preserve">VELOCIDAD </t>
        </is>
      </c>
    </row>
    <row r="29" ht="15.75" customHeight="1" s="40">
      <c r="B29" s="13" t="inlineStr">
        <is>
          <t>H1 Generar reporte PDF</t>
        </is>
      </c>
      <c r="C29" s="15" t="n">
        <v>8</v>
      </c>
      <c r="D29" s="15" t="n">
        <v>4</v>
      </c>
      <c r="E29" s="15" t="n">
        <v>5</v>
      </c>
      <c r="F29" s="15" t="n">
        <v>4</v>
      </c>
      <c r="G29" s="15">
        <f>D29*E29*F29</f>
        <v/>
      </c>
      <c r="H29" s="47">
        <f>AVERAGE(C29:C32)</f>
        <v/>
      </c>
    </row>
    <row r="30" ht="15.75" customHeight="1" s="40">
      <c r="B30" s="13" t="inlineStr">
        <is>
          <t>H2 Dashboard gráfico</t>
        </is>
      </c>
      <c r="C30" s="15" t="n">
        <v>8</v>
      </c>
      <c r="D30" s="15" t="n">
        <v>4</v>
      </c>
      <c r="E30" s="15" t="n">
        <v>7</v>
      </c>
      <c r="F30" s="15" t="n">
        <v>4</v>
      </c>
      <c r="G30" s="15">
        <f>D30*E30*F30</f>
        <v/>
      </c>
      <c r="H30" s="48" t="n"/>
    </row>
    <row r="31" ht="15.75" customHeight="1" s="40">
      <c r="B31" s="13" t="inlineStr">
        <is>
          <t>H3 Backup de datos</t>
        </is>
      </c>
      <c r="C31" s="15" t="n">
        <v>8</v>
      </c>
      <c r="D31" s="15" t="n">
        <v>4</v>
      </c>
      <c r="E31" s="15" t="n">
        <v>7</v>
      </c>
      <c r="F31" s="15" t="n">
        <v>4</v>
      </c>
      <c r="G31" s="15">
        <f>D31*E31*F31</f>
        <v/>
      </c>
      <c r="H31" s="48" t="n"/>
    </row>
    <row r="32" ht="15.75" customHeight="1" s="40">
      <c r="B32" s="18" t="inlineStr">
        <is>
          <t>H4 Integración Nequi</t>
        </is>
      </c>
      <c r="C32" s="20" t="n">
        <v>38</v>
      </c>
      <c r="D32" s="20" t="n">
        <v>4</v>
      </c>
      <c r="E32" s="15" t="n">
        <v>7</v>
      </c>
      <c r="F32" s="20" t="n">
        <v>4</v>
      </c>
      <c r="G32" s="20">
        <f>D32*E32*F32</f>
        <v/>
      </c>
      <c r="H32" s="49" t="n"/>
    </row>
    <row r="33" ht="15.75" customHeight="1" s="40"/>
    <row r="34" ht="15.75" customHeight="1" s="40">
      <c r="A34" s="23" t="inlineStr">
        <is>
          <t>x</t>
        </is>
      </c>
      <c r="B34" s="24" t="inlineStr">
        <is>
          <t>SPRINT 5</t>
        </is>
      </c>
      <c r="C34" s="41" t="n"/>
      <c r="D34" s="42" t="n"/>
      <c r="E34" s="42" t="n"/>
      <c r="F34" s="42" t="n"/>
      <c r="G34" s="42" t="n"/>
      <c r="H34" s="43" t="n"/>
    </row>
    <row r="35" ht="15.75" customHeight="1" s="40">
      <c r="B35" s="5" t="inlineStr">
        <is>
          <t>Semanas destinadas</t>
        </is>
      </c>
      <c r="C35" s="6" t="n"/>
      <c r="D35" s="7">
        <f>if(C35&gt;4,"No viable","Viable")</f>
        <v/>
      </c>
      <c r="E35" s="44">
        <f>CONCATENATE("Las semanas destinadas son: "&amp; C35)</f>
        <v/>
      </c>
      <c r="F35" s="45" t="n"/>
      <c r="G35" s="45" t="n"/>
      <c r="H35" s="46" t="n"/>
    </row>
    <row r="36" ht="15.75" customHeight="1" s="40">
      <c r="B36" s="10" t="inlineStr">
        <is>
          <t>HISTORIA DE USUARIO</t>
        </is>
      </c>
      <c r="C36" s="11" t="inlineStr">
        <is>
          <t>PUNTAJE</t>
        </is>
      </c>
      <c r="D36" s="11" t="inlineStr">
        <is>
          <t>INTEGRANTES</t>
        </is>
      </c>
      <c r="E36" s="11" t="inlineStr">
        <is>
          <t>DÍAS DEL SPRINT</t>
        </is>
      </c>
      <c r="F36" s="11" t="inlineStr">
        <is>
          <t>HORAS DEL DÍA</t>
        </is>
      </c>
      <c r="G36" s="11" t="inlineStr">
        <is>
          <t>CAPACIDAD TOTAL (HORAS)</t>
        </is>
      </c>
      <c r="H36" s="12" t="inlineStr">
        <is>
          <t xml:space="preserve">VELOCIDAD </t>
        </is>
      </c>
    </row>
    <row r="37" ht="15.75" customHeight="1" s="40">
      <c r="B37" s="13" t="inlineStr">
        <is>
          <t>H1 Entradas de inventario</t>
        </is>
      </c>
      <c r="C37" s="15" t="n">
        <v>3</v>
      </c>
      <c r="D37" s="15" t="n">
        <v>4</v>
      </c>
      <c r="E37" s="15" t="n">
        <v>4</v>
      </c>
      <c r="F37" s="15" t="n">
        <v>4</v>
      </c>
      <c r="G37" s="15">
        <f>D37*E37*F37</f>
        <v/>
      </c>
      <c r="H37" s="47">
        <f>AVERAGE(C37:C40)</f>
        <v/>
      </c>
    </row>
    <row r="38" ht="15.75" customHeight="1" s="40">
      <c r="B38" s="13" t="inlineStr">
        <is>
          <t>H2 Asociación proveedores</t>
        </is>
      </c>
      <c r="C38" s="15" t="n">
        <v>2</v>
      </c>
      <c r="D38" s="15" t="n">
        <v>4</v>
      </c>
      <c r="E38" s="15" t="n">
        <v>3</v>
      </c>
      <c r="F38" s="15" t="n">
        <v>4</v>
      </c>
      <c r="G38" s="15">
        <f>D38*E38*F38</f>
        <v/>
      </c>
      <c r="H38" s="48" t="n"/>
    </row>
    <row r="39" ht="15.75" customHeight="1" s="40">
      <c r="B39" s="13" t="inlineStr">
        <is>
          <t>H3 Actualizar stock base</t>
        </is>
      </c>
      <c r="C39" s="15" t="n">
        <v>3</v>
      </c>
      <c r="D39" s="15" t="n">
        <v>4</v>
      </c>
      <c r="E39" s="15" t="n">
        <v>5</v>
      </c>
      <c r="F39" s="15" t="n">
        <v>4</v>
      </c>
      <c r="G39" s="15">
        <f>D39*E39*F39</f>
        <v/>
      </c>
      <c r="H39" s="48" t="n"/>
    </row>
    <row r="40" ht="15.75" customHeight="1" s="40">
      <c r="B40" s="18" t="inlineStr">
        <is>
          <t>H4 Historial de entradas</t>
        </is>
      </c>
      <c r="C40" s="20" t="n">
        <v>2</v>
      </c>
      <c r="D40" s="20" t="n">
        <v>4</v>
      </c>
      <c r="E40" s="15" t="n">
        <v>3</v>
      </c>
      <c r="F40" s="20" t="n">
        <v>4</v>
      </c>
      <c r="G40" s="20">
        <f>D40*E40*F40</f>
        <v/>
      </c>
      <c r="H40" s="49" t="n"/>
    </row>
    <row r="41" ht="15.75" customHeight="1" s="40"/>
    <row r="42" ht="15.75" customHeight="1" s="40">
      <c r="B42" s="25" t="inlineStr">
        <is>
          <t>SPRINT 6</t>
        </is>
      </c>
      <c r="C42" s="50" t="n"/>
      <c r="D42" s="42" t="n"/>
      <c r="E42" s="42" t="n"/>
      <c r="F42" s="42" t="n"/>
      <c r="G42" s="42" t="n"/>
      <c r="H42" s="43" t="n"/>
    </row>
    <row r="43" ht="15.75" customHeight="1" s="40">
      <c r="B43" s="27" t="inlineStr">
        <is>
          <t>Semanas destinadas</t>
        </is>
      </c>
      <c r="C43" s="28" t="n"/>
      <c r="D43" s="29">
        <f>IF(C43&gt;4,"No viable","Viable")</f>
        <v/>
      </c>
      <c r="E43" s="51">
        <f>CONCATENATE("Las semanas destinadas son: "&amp; C43)</f>
        <v/>
      </c>
      <c r="F43" s="45" t="n"/>
      <c r="G43" s="45" t="n"/>
      <c r="H43" s="46" t="n"/>
    </row>
    <row r="44" ht="15.75" customHeight="1" s="40">
      <c r="B44" s="30" t="inlineStr">
        <is>
          <t>HISTORIA DE USUARIO</t>
        </is>
      </c>
      <c r="C44" s="31" t="inlineStr">
        <is>
          <t>PUNTAJE</t>
        </is>
      </c>
      <c r="D44" s="31" t="inlineStr">
        <is>
          <t>INTEGRANTES</t>
        </is>
      </c>
      <c r="E44" s="31" t="inlineStr">
        <is>
          <t>DÍAS DEL SPRINT</t>
        </is>
      </c>
      <c r="F44" s="31" t="inlineStr">
        <is>
          <t>HORAS DEL DÍA</t>
        </is>
      </c>
      <c r="G44" s="31" t="inlineStr">
        <is>
          <t>CAPACIDAD TOTAL (HORAS)</t>
        </is>
      </c>
      <c r="H44" s="32" t="inlineStr">
        <is>
          <t xml:space="preserve">VELOCIDAD </t>
        </is>
      </c>
    </row>
    <row r="45" ht="15.75" customHeight="1" s="40">
      <c r="B45" s="33" t="inlineStr">
        <is>
          <t>H1 Registrar bajas (HU10)</t>
        </is>
      </c>
      <c r="C45" s="35" t="n">
        <v>5</v>
      </c>
      <c r="D45" s="35" t="n">
        <v>4</v>
      </c>
      <c r="E45" s="35" t="n">
        <v>5</v>
      </c>
      <c r="F45" s="35" t="n">
        <v>4</v>
      </c>
      <c r="G45" s="35">
        <f>D45*E45*F45</f>
        <v/>
      </c>
      <c r="H45" s="52">
        <f>AVERAGE(C45:C48)</f>
        <v/>
      </c>
    </row>
    <row r="46" ht="15.75" customHeight="1" s="40">
      <c r="B46" s="33" t="inlineStr">
        <is>
          <t>H2 Validar estado físico</t>
        </is>
      </c>
      <c r="C46" s="35" t="n">
        <v>3</v>
      </c>
      <c r="D46" s="35" t="n">
        <v>4</v>
      </c>
      <c r="E46" s="35" t="n">
        <v>4</v>
      </c>
      <c r="F46" s="35" t="n">
        <v>4</v>
      </c>
      <c r="G46" s="35">
        <f>D46*E46*F46</f>
        <v/>
      </c>
      <c r="H46" s="48" t="n"/>
    </row>
    <row r="47" ht="15.75" customHeight="1" s="40">
      <c r="B47" s="33" t="inlineStr">
        <is>
          <t>H3 Auditoría de bajas</t>
        </is>
      </c>
      <c r="C47" s="35" t="n">
        <v>2</v>
      </c>
      <c r="D47" s="35" t="n">
        <v>4</v>
      </c>
      <c r="E47" s="35" t="n">
        <v>3</v>
      </c>
      <c r="F47" s="35" t="n">
        <v>4</v>
      </c>
      <c r="G47" s="35">
        <f>D47*E47*F47</f>
        <v/>
      </c>
      <c r="H47" s="48" t="n"/>
    </row>
    <row r="48" ht="15.75" customHeight="1" s="40">
      <c r="B48" s="37" t="inlineStr">
        <is>
          <t>H4 Reporte de mermas</t>
        </is>
      </c>
      <c r="C48" s="39" t="n">
        <v>2</v>
      </c>
      <c r="D48" s="39" t="n">
        <v>4</v>
      </c>
      <c r="E48" s="35" t="n">
        <v>3</v>
      </c>
      <c r="F48" s="39" t="n">
        <v>4</v>
      </c>
      <c r="G48" s="39">
        <f>D48*E48*F48</f>
        <v/>
      </c>
      <c r="H48" s="49" t="n"/>
    </row>
    <row r="49" ht="15.75" customHeight="1" s="40"/>
    <row r="50" ht="15.75" customHeight="1" s="40">
      <c r="B50" s="25" t="inlineStr">
        <is>
          <t>SPRINT 7</t>
        </is>
      </c>
      <c r="C50" s="50" t="n"/>
      <c r="D50" s="42" t="n"/>
      <c r="E50" s="42" t="n"/>
      <c r="F50" s="42" t="n"/>
      <c r="G50" s="42" t="n"/>
      <c r="H50" s="43" t="n"/>
    </row>
    <row r="51" ht="15.75" customHeight="1" s="40">
      <c r="B51" s="27" t="inlineStr">
        <is>
          <t>Semanas destinadas</t>
        </is>
      </c>
      <c r="C51" s="28" t="n"/>
      <c r="D51" s="29">
        <f>IF(C51&gt;4,"No viable","Viable")</f>
        <v/>
      </c>
      <c r="E51" s="51">
        <f>CONCATENATE("Las semanas destinadas son: "&amp; C51)</f>
        <v/>
      </c>
      <c r="F51" s="45" t="n"/>
      <c r="G51" s="45" t="n"/>
      <c r="H51" s="46" t="n"/>
    </row>
    <row r="52" ht="15.75" customHeight="1" s="40">
      <c r="B52" s="30" t="inlineStr">
        <is>
          <t>HISTORIA DE USUARIO</t>
        </is>
      </c>
      <c r="C52" s="31" t="inlineStr">
        <is>
          <t>PUNTAJE</t>
        </is>
      </c>
      <c r="D52" s="31" t="inlineStr">
        <is>
          <t>INTEGRANTES</t>
        </is>
      </c>
      <c r="E52" s="31" t="inlineStr">
        <is>
          <t>DÍAS DEL SPRINT</t>
        </is>
      </c>
      <c r="F52" s="31" t="inlineStr">
        <is>
          <t>HORAS DEL DÍA</t>
        </is>
      </c>
      <c r="G52" s="31" t="inlineStr">
        <is>
          <t>CAPACIDAD TOTAL (HORAS)</t>
        </is>
      </c>
      <c r="H52" s="32" t="inlineStr">
        <is>
          <t xml:space="preserve">VELOCIDAD </t>
        </is>
      </c>
    </row>
    <row r="53" ht="15.75" customHeight="1" s="40">
      <c r="B53" s="33" t="inlineStr">
        <is>
          <t>H1 Búsqueda avanzada</t>
        </is>
      </c>
      <c r="C53" s="35" t="n">
        <v>3</v>
      </c>
      <c r="D53" s="35" t="n">
        <v>4</v>
      </c>
      <c r="E53" s="35" t="n">
        <v>4</v>
      </c>
      <c r="F53" s="35" t="n">
        <v>4</v>
      </c>
      <c r="G53" s="35">
        <f>D53*E53*F53</f>
        <v/>
      </c>
      <c r="H53" s="52">
        <f>AVERAGE(C53:C56)</f>
        <v/>
      </c>
    </row>
    <row r="54" ht="15.75" customHeight="1" s="40">
      <c r="B54" s="33" t="inlineStr">
        <is>
          <t>H2 Filtros por categoría</t>
        </is>
      </c>
      <c r="C54" s="35" t="n">
        <v>2</v>
      </c>
      <c r="D54" s="35" t="n">
        <v>4</v>
      </c>
      <c r="E54" s="35" t="n">
        <v>3</v>
      </c>
      <c r="F54" s="35" t="n">
        <v>4</v>
      </c>
      <c r="G54" s="35">
        <f>D54*E54*F54</f>
        <v/>
      </c>
      <c r="H54" s="48" t="n"/>
    </row>
    <row r="55" ht="15.75" customHeight="1" s="40">
      <c r="B55" s="33" t="inlineStr">
        <is>
          <t>H3 Paginación resultados</t>
        </is>
      </c>
      <c r="C55" s="35" t="n">
        <v>2</v>
      </c>
      <c r="D55" s="35" t="n">
        <v>4</v>
      </c>
      <c r="E55" s="35" t="n">
        <v>3</v>
      </c>
      <c r="F55" s="35" t="n">
        <v>4</v>
      </c>
      <c r="G55" s="35">
        <f>D55*E55*F55</f>
        <v/>
      </c>
      <c r="H55" s="48" t="n"/>
    </row>
    <row r="56" ht="15.75" customHeight="1" s="40">
      <c r="B56" s="37" t="inlineStr">
        <is>
          <t>H4 Optimiz. de consultas</t>
        </is>
      </c>
      <c r="C56" s="39" t="n">
        <v>3</v>
      </c>
      <c r="D56" s="39" t="n">
        <v>4</v>
      </c>
      <c r="E56" s="35" t="n">
        <v>5</v>
      </c>
      <c r="F56" s="39" t="n">
        <v>4</v>
      </c>
      <c r="G56" s="39">
        <f>D56*E56*F56</f>
        <v/>
      </c>
      <c r="H56" s="49" t="n"/>
    </row>
    <row r="57" ht="15.75" customHeight="1" s="40"/>
    <row r="58" ht="15.75" customHeight="1" s="40">
      <c r="B58" s="25" t="inlineStr">
        <is>
          <t>SPRINT 8</t>
        </is>
      </c>
      <c r="C58" s="50" t="n"/>
      <c r="D58" s="42" t="n"/>
      <c r="E58" s="42" t="n"/>
      <c r="F58" s="42" t="n"/>
      <c r="G58" s="42" t="n"/>
      <c r="H58" s="43" t="n"/>
    </row>
    <row r="59" ht="15.75" customHeight="1" s="40">
      <c r="B59" s="27" t="inlineStr">
        <is>
          <t>Semanas destinadas</t>
        </is>
      </c>
      <c r="C59" s="28" t="n"/>
      <c r="D59" s="29">
        <f>IF(C59&gt;4,"No viable","Viable")</f>
        <v/>
      </c>
      <c r="E59" s="51">
        <f>CONCATENATE("Las semanas destinadas son: "&amp; C59)</f>
        <v/>
      </c>
      <c r="F59" s="45" t="n"/>
      <c r="G59" s="45" t="n"/>
      <c r="H59" s="46" t="n"/>
    </row>
    <row r="60" ht="15.75" customHeight="1" s="40">
      <c r="B60" s="30" t="inlineStr">
        <is>
          <t>HISTORIA DE USUARIO</t>
        </is>
      </c>
      <c r="C60" s="31" t="inlineStr">
        <is>
          <t>PUNTAJE</t>
        </is>
      </c>
      <c r="D60" s="31" t="inlineStr">
        <is>
          <t>INTEGRANTES</t>
        </is>
      </c>
      <c r="E60" s="31" t="inlineStr">
        <is>
          <t>DÍAS DEL SPRINT</t>
        </is>
      </c>
      <c r="F60" s="31" t="inlineStr">
        <is>
          <t>HORAS DEL DÍA</t>
        </is>
      </c>
      <c r="G60" s="31" t="inlineStr">
        <is>
          <t>CAPACIDAD TOTAL (HORAS)</t>
        </is>
      </c>
      <c r="H60" s="32" t="inlineStr">
        <is>
          <t xml:space="preserve">VELOCIDAD </t>
        </is>
      </c>
    </row>
    <row r="61" ht="15.75" customHeight="1" s="40">
      <c r="B61" s="33" t="inlineStr">
        <is>
          <t>H1 Historial de clientes</t>
        </is>
      </c>
      <c r="C61" s="35" t="n">
        <v>3</v>
      </c>
      <c r="D61" s="35" t="n">
        <v>4</v>
      </c>
      <c r="E61" s="35" t="n">
        <v>4</v>
      </c>
      <c r="F61" s="35" t="n">
        <v>4</v>
      </c>
      <c r="G61" s="35">
        <f>D61*E61*F61</f>
        <v/>
      </c>
      <c r="H61" s="52">
        <f>AVERAGE(C61:C64)</f>
        <v/>
      </c>
    </row>
    <row r="62" ht="15.75" customHeight="1" s="40">
      <c r="B62" s="33" t="inlineStr">
        <is>
          <t>H2 Fidelización/Puntos</t>
        </is>
      </c>
      <c r="C62" s="35" t="n">
        <v>2</v>
      </c>
      <c r="D62" s="35" t="n">
        <v>4</v>
      </c>
      <c r="E62" s="35" t="n">
        <v>3</v>
      </c>
      <c r="F62" s="35" t="n">
        <v>4</v>
      </c>
      <c r="G62" s="35">
        <f>D62*E62*F62</f>
        <v/>
      </c>
      <c r="H62" s="48" t="n"/>
    </row>
    <row r="63" ht="15.75" customHeight="1" s="40">
      <c r="B63" s="33" t="inlineStr">
        <is>
          <t>H3 Val. datos cliente</t>
        </is>
      </c>
      <c r="C63" s="35" t="n">
        <v>2</v>
      </c>
      <c r="D63" s="35" t="n">
        <v>4</v>
      </c>
      <c r="E63" s="35" t="n">
        <v>3</v>
      </c>
      <c r="F63" s="35" t="n">
        <v>4</v>
      </c>
      <c r="G63" s="35">
        <f>D63*E63*F63</f>
        <v/>
      </c>
      <c r="H63" s="48" t="n"/>
    </row>
    <row r="64" ht="15.75" customHeight="1" s="40">
      <c r="B64" s="37" t="inlineStr">
        <is>
          <t>H4 Exportar clientes</t>
        </is>
      </c>
      <c r="C64" s="39" t="n">
        <v>3</v>
      </c>
      <c r="D64" s="39" t="n">
        <v>4</v>
      </c>
      <c r="E64" s="35" t="n">
        <v>5</v>
      </c>
      <c r="F64" s="39" t="n">
        <v>4</v>
      </c>
      <c r="G64" s="39">
        <f>D64*E64*F64</f>
        <v/>
      </c>
      <c r="H64" s="49" t="n"/>
    </row>
    <row r="65" ht="15.75" customHeight="1" s="40"/>
    <row r="66" ht="15.75" customHeight="1" s="40">
      <c r="B66" s="25" t="inlineStr">
        <is>
          <t>SPRINT 9</t>
        </is>
      </c>
      <c r="C66" s="50" t="n"/>
      <c r="D66" s="42" t="n"/>
      <c r="E66" s="42" t="n"/>
      <c r="F66" s="42" t="n"/>
      <c r="G66" s="42" t="n"/>
      <c r="H66" s="43" t="n"/>
    </row>
    <row r="67" ht="15.75" customHeight="1" s="40">
      <c r="B67" s="27" t="inlineStr">
        <is>
          <t>Semanas destinadas</t>
        </is>
      </c>
      <c r="C67" s="28" t="n"/>
      <c r="D67" s="29">
        <f>IF(C67&gt;4,"No viable","Viable")</f>
        <v/>
      </c>
      <c r="E67" s="51">
        <f>CONCATENATE("Las semanas destinadas son: "&amp; C67)</f>
        <v/>
      </c>
      <c r="F67" s="45" t="n"/>
      <c r="G67" s="45" t="n"/>
      <c r="H67" s="46" t="n"/>
    </row>
    <row r="68" ht="15.75" customHeight="1" s="40">
      <c r="B68" s="30" t="inlineStr">
        <is>
          <t>HISTORIA DE USUARIO</t>
        </is>
      </c>
      <c r="C68" s="31" t="inlineStr">
        <is>
          <t>PUNTAJE</t>
        </is>
      </c>
      <c r="D68" s="31" t="inlineStr">
        <is>
          <t>INTEGRANTES</t>
        </is>
      </c>
      <c r="E68" s="31" t="inlineStr">
        <is>
          <t>DÍAS DEL SPRINT</t>
        </is>
      </c>
      <c r="F68" s="31" t="inlineStr">
        <is>
          <t>HORAS DEL DÍA</t>
        </is>
      </c>
      <c r="G68" s="31" t="inlineStr">
        <is>
          <t>CAPACIDAD TOTAL (HORAS)</t>
        </is>
      </c>
      <c r="H68" s="32" t="inlineStr">
        <is>
          <t xml:space="preserve">VELOCIDAD </t>
        </is>
      </c>
    </row>
    <row r="69" ht="15.75" customHeight="1" s="40">
      <c r="B69" s="33" t="inlineStr">
        <is>
          <t>H1 Interfaz POS (Terminal)</t>
        </is>
      </c>
      <c r="C69" s="35" t="n">
        <v>5</v>
      </c>
      <c r="D69" s="35" t="n">
        <v>3</v>
      </c>
      <c r="E69" s="35" t="n">
        <v>6</v>
      </c>
      <c r="F69" s="35" t="n">
        <v>4</v>
      </c>
      <c r="G69" s="35">
        <f>D69*E69*F69</f>
        <v/>
      </c>
      <c r="H69" s="52">
        <f>AVERAGE(C69:C72)</f>
        <v/>
      </c>
    </row>
    <row r="70" ht="15.75" customHeight="1" s="40">
      <c r="B70" s="33" t="inlineStr">
        <is>
          <t>H2 Agregar al carrito</t>
        </is>
      </c>
      <c r="C70" s="35" t="n">
        <v>3</v>
      </c>
      <c r="D70" s="35" t="n">
        <v>3</v>
      </c>
      <c r="E70" s="35" t="n">
        <v>4</v>
      </c>
      <c r="F70" s="35" t="n">
        <v>4</v>
      </c>
      <c r="G70" s="35">
        <f>D70*E70*F70</f>
        <v/>
      </c>
      <c r="H70" s="48" t="n"/>
    </row>
    <row r="71" ht="15.75" customHeight="1" s="40">
      <c r="B71" s="33" t="inlineStr">
        <is>
          <t>H3 Calcular impuestos</t>
        </is>
      </c>
      <c r="C71" s="35" t="n">
        <v>2</v>
      </c>
      <c r="D71" s="35" t="n">
        <v>3</v>
      </c>
      <c r="E71" s="35" t="n">
        <v>3</v>
      </c>
      <c r="F71" s="35" t="n">
        <v>4</v>
      </c>
      <c r="G71" s="35">
        <f>D71*E71*F71</f>
        <v/>
      </c>
      <c r="H71" s="48" t="n"/>
    </row>
    <row r="72" ht="15.75" customHeight="1" s="40">
      <c r="B72" s="37" t="inlineStr">
        <is>
          <t>H4 Imprimir ticket</t>
        </is>
      </c>
      <c r="C72" s="39" t="n">
        <v>2</v>
      </c>
      <c r="D72" s="39" t="n">
        <v>3</v>
      </c>
      <c r="E72" s="35" t="n">
        <v>3</v>
      </c>
      <c r="F72" s="39" t="n">
        <v>4</v>
      </c>
      <c r="G72" s="39">
        <f>D72*E72*F72</f>
        <v/>
      </c>
      <c r="H72" s="49" t="n"/>
    </row>
    <row r="73" ht="15.75" customHeight="1" s="40"/>
    <row r="74" ht="15.75" customHeight="1" s="40">
      <c r="B74" s="25" t="inlineStr">
        <is>
          <t>SPRINT 10</t>
        </is>
      </c>
      <c r="C74" s="50" t="n"/>
      <c r="D74" s="42" t="n"/>
      <c r="E74" s="42" t="n"/>
      <c r="F74" s="42" t="n"/>
      <c r="G74" s="42" t="n"/>
      <c r="H74" s="43" t="n"/>
    </row>
    <row r="75" ht="15.75" customHeight="1" s="40">
      <c r="B75" s="27" t="inlineStr">
        <is>
          <t>Semanas destinadas</t>
        </is>
      </c>
      <c r="C75" s="28" t="n"/>
      <c r="D75" s="29">
        <f>IF(C75&gt;4,"No viable","Viable")</f>
        <v/>
      </c>
      <c r="E75" s="51">
        <f>CONCATENATE("Las semanas destinadas son: "&amp; C75)</f>
        <v/>
      </c>
      <c r="F75" s="45" t="n"/>
      <c r="G75" s="45" t="n"/>
      <c r="H75" s="46" t="n"/>
    </row>
    <row r="76" ht="15.75" customHeight="1" s="40">
      <c r="B76" s="30" t="inlineStr">
        <is>
          <t>HISTORIA DE USUARIO</t>
        </is>
      </c>
      <c r="C76" s="31" t="inlineStr">
        <is>
          <t>PUNTAJE</t>
        </is>
      </c>
      <c r="D76" s="31" t="inlineStr">
        <is>
          <t>INTEGRANTES</t>
        </is>
      </c>
      <c r="E76" s="31" t="inlineStr">
        <is>
          <t>DÍAS DEL SPRINT</t>
        </is>
      </c>
      <c r="F76" s="31" t="inlineStr">
        <is>
          <t>HORAS DEL DÍA</t>
        </is>
      </c>
      <c r="G76" s="31" t="inlineStr">
        <is>
          <t>CAPACIDAD TOTAL (HORAS)</t>
        </is>
      </c>
      <c r="H76" s="32" t="inlineStr">
        <is>
          <t xml:space="preserve">VELOCIDAD </t>
        </is>
      </c>
    </row>
    <row r="77" ht="15.75" customHeight="1" s="40">
      <c r="B77" s="33" t="inlineStr">
        <is>
          <t>H1 Reporte avanzado (HU09)</t>
        </is>
      </c>
      <c r="C77" s="35" t="n">
        <v>5</v>
      </c>
      <c r="D77" s="35" t="n">
        <v>3</v>
      </c>
      <c r="E77" s="35" t="n">
        <v>6</v>
      </c>
      <c r="F77" s="35" t="n">
        <v>4</v>
      </c>
      <c r="G77" s="35">
        <f>D77*E77*F77</f>
        <v/>
      </c>
      <c r="H77" s="52">
        <f>AVERAGE(C77:C80)</f>
        <v/>
      </c>
    </row>
    <row r="78" ht="15.75" customHeight="1" s="40">
      <c r="B78" s="33" t="inlineStr">
        <is>
          <t>H2 Reporte de ventas</t>
        </is>
      </c>
      <c r="C78" s="35" t="n">
        <v>3</v>
      </c>
      <c r="D78" s="35" t="n">
        <v>3</v>
      </c>
      <c r="E78" s="35" t="n">
        <v>4</v>
      </c>
      <c r="F78" s="35" t="n">
        <v>4</v>
      </c>
      <c r="G78" s="35">
        <f>D78*E78*F78</f>
        <v/>
      </c>
      <c r="H78" s="48" t="n"/>
    </row>
    <row r="79" ht="15.75" customHeight="1" s="40">
      <c r="B79" s="33" t="inlineStr">
        <is>
          <t>H3 Exportar Excel/CSV</t>
        </is>
      </c>
      <c r="C79" s="35" t="n">
        <v>2</v>
      </c>
      <c r="D79" s="35" t="n">
        <v>3</v>
      </c>
      <c r="E79" s="35" t="n">
        <v>3</v>
      </c>
      <c r="F79" s="35" t="n">
        <v>4</v>
      </c>
      <c r="G79" s="35">
        <f>D79*E79*F79</f>
        <v/>
      </c>
      <c r="H79" s="48" t="n"/>
    </row>
    <row r="80" ht="15.75" customHeight="1" s="40">
      <c r="B80" s="37" t="inlineStr">
        <is>
          <t>H4 Filtros de fechas</t>
        </is>
      </c>
      <c r="C80" s="39" t="n">
        <v>2</v>
      </c>
      <c r="D80" s="39" t="n">
        <v>3</v>
      </c>
      <c r="E80" s="35" t="n">
        <v>3</v>
      </c>
      <c r="F80" s="39" t="n">
        <v>4</v>
      </c>
      <c r="G80" s="39">
        <f>D80*E80*F80</f>
        <v/>
      </c>
      <c r="H80" s="49" t="n"/>
    </row>
    <row r="81" ht="15.75" customHeight="1" s="40"/>
    <row r="82" ht="15.75" customHeight="1" s="40">
      <c r="B82" s="25" t="inlineStr">
        <is>
          <t>SPRINT 11</t>
        </is>
      </c>
      <c r="C82" s="50" t="n"/>
      <c r="D82" s="42" t="n"/>
      <c r="E82" s="42" t="n"/>
      <c r="F82" s="42" t="n"/>
      <c r="G82" s="42" t="n"/>
      <c r="H82" s="43" t="n"/>
    </row>
    <row r="83" ht="15.75" customHeight="1" s="40">
      <c r="B83" s="27" t="inlineStr">
        <is>
          <t>Semanas destinadas</t>
        </is>
      </c>
      <c r="C83" s="28" t="n"/>
      <c r="D83" s="29">
        <f>IF(C83&gt;4,"No viable","Viable")</f>
        <v/>
      </c>
      <c r="E83" s="51">
        <f>CONCATENATE("Las semanas destinadas son: "&amp; C83)</f>
        <v/>
      </c>
      <c r="F83" s="45" t="n"/>
      <c r="G83" s="45" t="n"/>
      <c r="H83" s="46" t="n"/>
    </row>
    <row r="84" ht="15.75" customHeight="1" s="40">
      <c r="B84" s="30" t="inlineStr">
        <is>
          <t>HISTORIA DE USUARIO</t>
        </is>
      </c>
      <c r="C84" s="31" t="inlineStr">
        <is>
          <t>PUNTAJE</t>
        </is>
      </c>
      <c r="D84" s="31" t="inlineStr">
        <is>
          <t>INTEGRANTES</t>
        </is>
      </c>
      <c r="E84" s="31" t="inlineStr">
        <is>
          <t>DÍAS DEL SPRINT</t>
        </is>
      </c>
      <c r="F84" s="31" t="inlineStr">
        <is>
          <t>HORAS DEL DÍA</t>
        </is>
      </c>
      <c r="G84" s="31" t="inlineStr">
        <is>
          <t>CAPACIDAD TOTAL (HORAS)</t>
        </is>
      </c>
      <c r="H84" s="32" t="inlineStr">
        <is>
          <t xml:space="preserve">VELOCIDAD </t>
        </is>
      </c>
    </row>
    <row r="85" ht="15.75" customHeight="1" s="40">
      <c r="B85" s="33" t="inlineStr">
        <is>
          <t>H1 Gráficas ventas (HU11)</t>
        </is>
      </c>
      <c r="C85" s="35" t="n">
        <v>5</v>
      </c>
      <c r="D85" s="35" t="n">
        <v>4</v>
      </c>
      <c r="E85" s="35" t="n">
        <v>5</v>
      </c>
      <c r="F85" s="35" t="n">
        <v>4</v>
      </c>
      <c r="G85" s="35">
        <f>D85*E85*F85</f>
        <v/>
      </c>
      <c r="H85" s="52">
        <f>AVERAGE(C85:C88)</f>
        <v/>
      </c>
    </row>
    <row r="86" ht="15.75" customHeight="1" s="40">
      <c r="B86" s="33" t="inlineStr">
        <is>
          <t>H2 Gráficas de stock</t>
        </is>
      </c>
      <c r="C86" s="35" t="n">
        <v>3</v>
      </c>
      <c r="D86" s="35" t="n">
        <v>4</v>
      </c>
      <c r="E86" s="35" t="n">
        <v>4</v>
      </c>
      <c r="F86" s="35" t="n">
        <v>4</v>
      </c>
      <c r="G86" s="35">
        <f>D86*E86*F86</f>
        <v/>
      </c>
      <c r="H86" s="48" t="n"/>
    </row>
    <row r="87" ht="15.75" customHeight="1" s="40">
      <c r="B87" s="33" t="inlineStr">
        <is>
          <t>H3 Librería externa UI</t>
        </is>
      </c>
      <c r="C87" s="35" t="n">
        <v>2</v>
      </c>
      <c r="D87" s="35" t="n">
        <v>4</v>
      </c>
      <c r="E87" s="35" t="n">
        <v>3</v>
      </c>
      <c r="F87" s="35" t="n">
        <v>4</v>
      </c>
      <c r="G87" s="35">
        <f>D87*E87*F87</f>
        <v/>
      </c>
      <c r="H87" s="48" t="n"/>
    </row>
    <row r="88" ht="15.75" customHeight="1" s="40">
      <c r="B88" s="37" t="inlineStr">
        <is>
          <t>H4 Dashboard admin</t>
        </is>
      </c>
      <c r="C88" s="39" t="n">
        <v>2</v>
      </c>
      <c r="D88" s="39" t="n">
        <v>4</v>
      </c>
      <c r="E88" s="35" t="n">
        <v>3</v>
      </c>
      <c r="F88" s="39" t="n">
        <v>4</v>
      </c>
      <c r="G88" s="39">
        <f>D88*E88*F88</f>
        <v/>
      </c>
      <c r="H88" s="49" t="n"/>
    </row>
    <row r="89" ht="15.75" customHeight="1" s="40"/>
    <row r="90" ht="15.75" customHeight="1" s="40">
      <c r="B90" s="25" t="inlineStr">
        <is>
          <t>SPRINT 12</t>
        </is>
      </c>
      <c r="C90" s="50" t="n"/>
      <c r="D90" s="42" t="n"/>
      <c r="E90" s="42" t="n"/>
      <c r="F90" s="42" t="n"/>
      <c r="G90" s="42" t="n"/>
      <c r="H90" s="43" t="n"/>
    </row>
    <row r="91" ht="15.75" customHeight="1" s="40">
      <c r="B91" s="27" t="inlineStr">
        <is>
          <t>Semanas destinadas</t>
        </is>
      </c>
      <c r="C91" s="28" t="n"/>
      <c r="D91" s="29">
        <f>IF(C91&gt;4,"No viable","Viable")</f>
        <v/>
      </c>
      <c r="E91" s="51">
        <f>CONCATENATE("Las semanas destinadas son: "&amp; C91)</f>
        <v/>
      </c>
      <c r="F91" s="45" t="n"/>
      <c r="G91" s="45" t="n"/>
      <c r="H91" s="46" t="n"/>
    </row>
    <row r="92" ht="15.75" customHeight="1" s="40">
      <c r="B92" s="30" t="inlineStr">
        <is>
          <t>HISTORIA DE USUARIO</t>
        </is>
      </c>
      <c r="C92" s="31" t="inlineStr">
        <is>
          <t>PUNTAJE</t>
        </is>
      </c>
      <c r="D92" s="31" t="inlineStr">
        <is>
          <t>INTEGRANTES</t>
        </is>
      </c>
      <c r="E92" s="31" t="inlineStr">
        <is>
          <t>DÍAS DEL SPRINT</t>
        </is>
      </c>
      <c r="F92" s="31" t="inlineStr">
        <is>
          <t>HORAS DEL DÍA</t>
        </is>
      </c>
      <c r="G92" s="31" t="inlineStr">
        <is>
          <t>CAPACIDAD TOTAL (HORAS)</t>
        </is>
      </c>
      <c r="H92" s="32" t="inlineStr">
        <is>
          <t xml:space="preserve">VELOCIDAD </t>
        </is>
      </c>
    </row>
    <row r="93" ht="15.75" customHeight="1" s="40">
      <c r="B93" s="33" t="inlineStr">
        <is>
          <t>H1 Alerta stock bajo (HU06)</t>
        </is>
      </c>
      <c r="C93" s="35" t="n">
        <v>3</v>
      </c>
      <c r="D93" s="35" t="n">
        <v>4</v>
      </c>
      <c r="E93" s="35" t="n">
        <v>4</v>
      </c>
      <c r="F93" s="35" t="n">
        <v>4</v>
      </c>
      <c r="G93" s="35">
        <f>D93*E93*F93</f>
        <v/>
      </c>
      <c r="H93" s="52">
        <f>AVERAGE(C93:C96)</f>
        <v/>
      </c>
    </row>
    <row r="94" ht="15.75" customHeight="1" s="40">
      <c r="B94" s="33" t="inlineStr">
        <is>
          <t>H2 Notificación email</t>
        </is>
      </c>
      <c r="C94" s="35" t="n">
        <v>2</v>
      </c>
      <c r="D94" s="35" t="n">
        <v>4</v>
      </c>
      <c r="E94" s="35" t="n">
        <v>3</v>
      </c>
      <c r="F94" s="35" t="n">
        <v>4</v>
      </c>
      <c r="G94" s="35">
        <f>D94*E94*F94</f>
        <v/>
      </c>
      <c r="H94" s="48" t="n"/>
    </row>
    <row r="95" ht="15.75" customHeight="1" s="40">
      <c r="B95" s="33" t="inlineStr">
        <is>
          <t>H3 Configurar umbrales</t>
        </is>
      </c>
      <c r="C95" s="35" t="n">
        <v>2</v>
      </c>
      <c r="D95" s="35" t="n">
        <v>4</v>
      </c>
      <c r="E95" s="35" t="n">
        <v>3</v>
      </c>
      <c r="F95" s="35" t="n">
        <v>4</v>
      </c>
      <c r="G95" s="35">
        <f>D95*E95*F95</f>
        <v/>
      </c>
      <c r="H95" s="48" t="n"/>
    </row>
    <row r="96" ht="15.75" customHeight="1" s="40">
      <c r="B96" s="37" t="inlineStr">
        <is>
          <t>H4 Historial de alertas</t>
        </is>
      </c>
      <c r="C96" s="39" t="n">
        <v>3</v>
      </c>
      <c r="D96" s="39" t="n">
        <v>4</v>
      </c>
      <c r="E96" s="35" t="n">
        <v>5</v>
      </c>
      <c r="F96" s="39" t="n">
        <v>4</v>
      </c>
      <c r="G96" s="39">
        <f>D96*E96*F96</f>
        <v/>
      </c>
      <c r="H96" s="49" t="n"/>
    </row>
    <row r="97" ht="15.75" customHeight="1" s="40"/>
    <row r="98" ht="15.75" customHeight="1" s="40">
      <c r="B98" s="25" t="inlineStr">
        <is>
          <t>SPRINT 13</t>
        </is>
      </c>
      <c r="C98" s="50" t="n"/>
      <c r="D98" s="42" t="n"/>
      <c r="E98" s="42" t="n"/>
      <c r="F98" s="42" t="n"/>
      <c r="G98" s="42" t="n"/>
      <c r="H98" s="43" t="n"/>
    </row>
    <row r="99" ht="15.75" customHeight="1" s="40">
      <c r="B99" s="27" t="inlineStr">
        <is>
          <t>Semanas destinadas</t>
        </is>
      </c>
      <c r="C99" s="28" t="n"/>
      <c r="D99" s="29">
        <f>IF(C99&gt;4,"No viable","Viable")</f>
        <v/>
      </c>
      <c r="E99" s="51">
        <f>CONCATENATE("Las semanas destinadas son: "&amp; C99)</f>
        <v/>
      </c>
      <c r="F99" s="45" t="n"/>
      <c r="G99" s="45" t="n"/>
      <c r="H99" s="46" t="n"/>
    </row>
    <row r="100" ht="15.75" customHeight="1" s="40">
      <c r="B100" s="30" t="inlineStr">
        <is>
          <t>HISTORIA DE USUARIO</t>
        </is>
      </c>
      <c r="C100" s="31" t="inlineStr">
        <is>
          <t>PUNTAJE</t>
        </is>
      </c>
      <c r="D100" s="31" t="inlineStr">
        <is>
          <t>INTEGRANTES</t>
        </is>
      </c>
      <c r="E100" s="31" t="inlineStr">
        <is>
          <t>DÍAS DEL SPRINT</t>
        </is>
      </c>
      <c r="F100" s="31" t="inlineStr">
        <is>
          <t>HORAS DEL DÍA</t>
        </is>
      </c>
      <c r="G100" s="31" t="inlineStr">
        <is>
          <t>CAPACIDAD TOTAL (HORAS)</t>
        </is>
      </c>
      <c r="H100" s="32" t="inlineStr">
        <is>
          <t xml:space="preserve">VELOCIDAD </t>
        </is>
      </c>
    </row>
    <row r="101" ht="15.75" customHeight="1" s="40">
      <c r="B101" s="33" t="inlineStr">
        <is>
          <t>H1 Backups auto (HU12)</t>
        </is>
      </c>
      <c r="C101" s="35" t="n">
        <v>5</v>
      </c>
      <c r="D101" s="35" t="n">
        <v>4</v>
      </c>
      <c r="E101" s="35" t="n">
        <v>6</v>
      </c>
      <c r="F101" s="35" t="n">
        <v>4</v>
      </c>
      <c r="G101" s="35">
        <f>D101*E101*F101</f>
        <v/>
      </c>
      <c r="H101" s="52">
        <f>AVERAGE(C101:C104)</f>
        <v/>
      </c>
    </row>
    <row r="102" ht="15.75" customHeight="1" s="40">
      <c r="B102" s="33" t="inlineStr">
        <is>
          <t>H2 Restauración de datos</t>
        </is>
      </c>
      <c r="C102" s="35" t="n">
        <v>3</v>
      </c>
      <c r="D102" s="35" t="n">
        <v>4</v>
      </c>
      <c r="E102" s="35" t="n">
        <v>4</v>
      </c>
      <c r="F102" s="35" t="n">
        <v>4</v>
      </c>
      <c r="G102" s="35">
        <f>D102*E102*F102</f>
        <v/>
      </c>
      <c r="H102" s="48" t="n"/>
    </row>
    <row r="103" ht="15.75" customHeight="1" s="40">
      <c r="B103" s="33" t="inlineStr">
        <is>
          <t>H3 Log de seguridad</t>
        </is>
      </c>
      <c r="C103" s="35" t="n">
        <v>2</v>
      </c>
      <c r="D103" s="35" t="n">
        <v>4</v>
      </c>
      <c r="E103" s="35" t="n">
        <v>3</v>
      </c>
      <c r="F103" s="35" t="n">
        <v>4</v>
      </c>
      <c r="G103" s="35">
        <f>D103*E103*F103</f>
        <v/>
      </c>
      <c r="H103" s="48" t="n"/>
    </row>
    <row r="104" ht="15.75" customHeight="1" s="40">
      <c r="B104" s="37" t="inlineStr">
        <is>
          <t>H4 Cifrado de respaldos</t>
        </is>
      </c>
      <c r="C104" s="39" t="n">
        <v>3</v>
      </c>
      <c r="D104" s="39" t="n">
        <v>4</v>
      </c>
      <c r="E104" s="35" t="n">
        <v>4</v>
      </c>
      <c r="F104" s="39" t="n">
        <v>4</v>
      </c>
      <c r="G104" s="39">
        <f>D104*E104*F104</f>
        <v/>
      </c>
      <c r="H104" s="49" t="n"/>
    </row>
    <row r="105" ht="15.75" customHeight="1" s="40"/>
    <row r="106" ht="15.75" customHeight="1" s="40">
      <c r="B106" s="25" t="inlineStr">
        <is>
          <t>SPRINT 14</t>
        </is>
      </c>
      <c r="C106" s="50" t="n"/>
      <c r="D106" s="42" t="n"/>
      <c r="E106" s="42" t="n"/>
      <c r="F106" s="42" t="n"/>
      <c r="G106" s="42" t="n"/>
      <c r="H106" s="43" t="n"/>
    </row>
    <row r="107" ht="15.75" customHeight="1" s="40">
      <c r="B107" s="27" t="inlineStr">
        <is>
          <t>Semanas destinadas</t>
        </is>
      </c>
      <c r="C107" s="28" t="n"/>
      <c r="D107" s="29">
        <f>IF(C107&gt;4,"No viable","Viable")</f>
        <v/>
      </c>
      <c r="E107" s="51">
        <f>CONCATENATE("Las semanas destinadas son: "&amp; C107)</f>
        <v/>
      </c>
      <c r="F107" s="45" t="n"/>
      <c r="G107" s="45" t="n"/>
      <c r="H107" s="46" t="n"/>
    </row>
    <row r="108" ht="15.75" customHeight="1" s="40">
      <c r="B108" s="30" t="inlineStr">
        <is>
          <t>HISTORIA DE USUARIO</t>
        </is>
      </c>
      <c r="C108" s="31" t="inlineStr">
        <is>
          <t>PUNTAJE</t>
        </is>
      </c>
      <c r="D108" s="31" t="inlineStr">
        <is>
          <t>INTEGRANTES</t>
        </is>
      </c>
      <c r="E108" s="31" t="inlineStr">
        <is>
          <t>DÍAS DEL SPRINT</t>
        </is>
      </c>
      <c r="F108" s="31" t="inlineStr">
        <is>
          <t>HORAS DEL DÍA</t>
        </is>
      </c>
      <c r="G108" s="31" t="inlineStr">
        <is>
          <t>CAPACIDAD TOTAL (HORAS)</t>
        </is>
      </c>
      <c r="H108" s="32" t="inlineStr">
        <is>
          <t xml:space="preserve">VELOCIDAD </t>
        </is>
      </c>
    </row>
    <row r="109" ht="15.75" customHeight="1" s="40">
      <c r="B109" s="33" t="inlineStr">
        <is>
          <t>H1 Refactor red (HU08)</t>
        </is>
      </c>
      <c r="C109" s="35" t="n">
        <v>5</v>
      </c>
      <c r="D109" s="35" t="n">
        <v>4</v>
      </c>
      <c r="E109" s="35" t="n">
        <v>6</v>
      </c>
      <c r="F109" s="35" t="n">
        <v>4</v>
      </c>
      <c r="G109" s="35">
        <f>D109*E109*F109</f>
        <v/>
      </c>
      <c r="H109" s="52">
        <f>AVERAGE(C109:C112)</f>
        <v/>
      </c>
    </row>
    <row r="110" ht="15.75" customHeight="1" s="40">
      <c r="B110" s="33" t="inlineStr">
        <is>
          <t>H2 Optimización de BD</t>
        </is>
      </c>
      <c r="C110" s="35" t="n">
        <v>3</v>
      </c>
      <c r="D110" s="35" t="n">
        <v>4</v>
      </c>
      <c r="E110" s="35" t="n">
        <v>4</v>
      </c>
      <c r="F110" s="35" t="n">
        <v>4</v>
      </c>
      <c r="G110" s="35">
        <f>D110*E110*F110</f>
        <v/>
      </c>
      <c r="H110" s="48" t="n"/>
    </row>
    <row r="111" ht="15.75" customHeight="1" s="40">
      <c r="B111" s="33" t="inlineStr">
        <is>
          <t>H3 Pruebas de carga</t>
        </is>
      </c>
      <c r="C111" s="35" t="n">
        <v>2</v>
      </c>
      <c r="D111" s="35" t="n">
        <v>4</v>
      </c>
      <c r="E111" s="35" t="n">
        <v>3</v>
      </c>
      <c r="F111" s="35" t="n">
        <v>4</v>
      </c>
      <c r="G111" s="35">
        <f>D111*E111*F111</f>
        <v/>
      </c>
      <c r="H111" s="48" t="n"/>
    </row>
    <row r="112" ht="15.75" customHeight="1" s="40">
      <c r="B112" s="37" t="inlineStr">
        <is>
          <t>H4 Corregir bugs visuales</t>
        </is>
      </c>
      <c r="C112" s="39" t="n">
        <v>2</v>
      </c>
      <c r="D112" s="39" t="n">
        <v>4</v>
      </c>
      <c r="E112" s="35" t="n">
        <v>3</v>
      </c>
      <c r="F112" s="39" t="n">
        <v>4</v>
      </c>
      <c r="G112" s="39">
        <f>D112*E112*F112</f>
        <v/>
      </c>
      <c r="H112" s="49" t="n"/>
    </row>
    <row r="113" ht="15.75" customHeight="1" s="40"/>
    <row r="114" ht="15.75" customHeight="1" s="40">
      <c r="B114" s="25" t="inlineStr">
        <is>
          <t>SPRINT 15</t>
        </is>
      </c>
      <c r="C114" s="50" t="n"/>
      <c r="D114" s="42" t="n"/>
      <c r="E114" s="42" t="n"/>
      <c r="F114" s="42" t="n"/>
      <c r="G114" s="42" t="n"/>
      <c r="H114" s="43" t="n"/>
    </row>
    <row r="115" ht="15.75" customHeight="1" s="40">
      <c r="B115" s="27" t="inlineStr">
        <is>
          <t>Semanas destinadas</t>
        </is>
      </c>
      <c r="C115" s="28" t="n"/>
      <c r="D115" s="29">
        <f>IF(C115&gt;4,"No viable","Viable")</f>
        <v/>
      </c>
      <c r="E115" s="51">
        <f>CONCATENATE("Las semanas destinadas son: "&amp; C115)</f>
        <v/>
      </c>
      <c r="F115" s="45" t="n"/>
      <c r="G115" s="45" t="n"/>
      <c r="H115" s="46" t="n"/>
    </row>
    <row r="116" ht="15.75" customHeight="1" s="40">
      <c r="B116" s="30" t="inlineStr">
        <is>
          <t>HISTORIA DE USUARIO</t>
        </is>
      </c>
      <c r="C116" s="31" t="inlineStr">
        <is>
          <t>PUNTAJE</t>
        </is>
      </c>
      <c r="D116" s="31" t="inlineStr">
        <is>
          <t>INTEGRANTES</t>
        </is>
      </c>
      <c r="E116" s="31" t="inlineStr">
        <is>
          <t>DÍAS DEL SPRINT</t>
        </is>
      </c>
      <c r="F116" s="31" t="inlineStr">
        <is>
          <t>HORAS DEL DÍA</t>
        </is>
      </c>
      <c r="G116" s="31" t="inlineStr">
        <is>
          <t>CAPACIDAD TOTAL (HORAS)</t>
        </is>
      </c>
      <c r="H116" s="32" t="inlineStr">
        <is>
          <t xml:space="preserve">VELOCIDAD </t>
        </is>
      </c>
    </row>
    <row r="117" ht="15.75" customHeight="1" s="40">
      <c r="B117" s="33" t="inlineStr">
        <is>
          <t>H1 Generar reporte PDF</t>
        </is>
      </c>
      <c r="C117" s="35" t="n">
        <v>8</v>
      </c>
      <c r="D117" s="35" t="n">
        <v>4</v>
      </c>
      <c r="E117" s="35" t="n">
        <v>5</v>
      </c>
      <c r="F117" s="35" t="n">
        <v>4</v>
      </c>
      <c r="G117" s="35">
        <f>D117*E117*F117</f>
        <v/>
      </c>
      <c r="H117" s="52">
        <f>AVERAGE(C117:C120)</f>
        <v/>
      </c>
    </row>
    <row r="118" ht="15.75" customHeight="1" s="40">
      <c r="B118" s="33" t="inlineStr">
        <is>
          <t>H2 Dashboard gráfico</t>
        </is>
      </c>
      <c r="C118" s="35" t="n">
        <v>8</v>
      </c>
      <c r="D118" s="35" t="n">
        <v>4</v>
      </c>
      <c r="E118" s="35" t="n">
        <v>7</v>
      </c>
      <c r="F118" s="35" t="n">
        <v>4</v>
      </c>
      <c r="G118" s="35">
        <f>D118*E118*F118</f>
        <v/>
      </c>
      <c r="H118" s="48" t="n"/>
    </row>
    <row r="119" ht="15.75" customHeight="1" s="40">
      <c r="B119" s="33" t="inlineStr">
        <is>
          <t>H3 Backup de datos</t>
        </is>
      </c>
      <c r="C119" s="35" t="n">
        <v>8</v>
      </c>
      <c r="D119" s="35" t="n">
        <v>4</v>
      </c>
      <c r="E119" s="35" t="n">
        <v>7</v>
      </c>
      <c r="F119" s="35" t="n">
        <v>4</v>
      </c>
      <c r="G119" s="35">
        <f>D119*E119*F119</f>
        <v/>
      </c>
      <c r="H119" s="48" t="n"/>
    </row>
    <row r="120" ht="15.75" customHeight="1" s="40">
      <c r="B120" s="37" t="inlineStr">
        <is>
          <t>H4 Integración Nequi</t>
        </is>
      </c>
      <c r="C120" s="39" t="n">
        <v>38</v>
      </c>
      <c r="D120" s="39" t="n">
        <v>4</v>
      </c>
      <c r="E120" s="35" t="n">
        <v>7</v>
      </c>
      <c r="F120" s="39" t="n">
        <v>4</v>
      </c>
      <c r="G120" s="39">
        <f>D120*E120*F120</f>
        <v/>
      </c>
      <c r="H120" s="49" t="n"/>
    </row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</sheetData>
  <mergeCells count="45">
    <mergeCell ref="C10:H10"/>
    <mergeCell ref="H93:H96"/>
    <mergeCell ref="C50:H50"/>
    <mergeCell ref="E91:H91"/>
    <mergeCell ref="C114:H114"/>
    <mergeCell ref="H53:H56"/>
    <mergeCell ref="C90:H90"/>
    <mergeCell ref="E27:H27"/>
    <mergeCell ref="E75:H75"/>
    <mergeCell ref="E11:H11"/>
    <mergeCell ref="E115:H115"/>
    <mergeCell ref="C2:H2"/>
    <mergeCell ref="E3:H3"/>
    <mergeCell ref="E43:H43"/>
    <mergeCell ref="H117:H120"/>
    <mergeCell ref="H21:H24"/>
    <mergeCell ref="H61:H64"/>
    <mergeCell ref="H69:H72"/>
    <mergeCell ref="C106:H106"/>
    <mergeCell ref="H85:H88"/>
    <mergeCell ref="H45:H48"/>
    <mergeCell ref="E67:H67"/>
    <mergeCell ref="H109:H112"/>
    <mergeCell ref="C82:H82"/>
    <mergeCell ref="E83:H83"/>
    <mergeCell ref="C66:H66"/>
    <mergeCell ref="H13:H16"/>
    <mergeCell ref="E35:H35"/>
    <mergeCell ref="E51:H51"/>
    <mergeCell ref="E107:H107"/>
    <mergeCell ref="C18:H18"/>
    <mergeCell ref="H77:H80"/>
    <mergeCell ref="C34:H34"/>
    <mergeCell ref="E19:H19"/>
    <mergeCell ref="C42:H42"/>
    <mergeCell ref="C58:H58"/>
    <mergeCell ref="C98:H98"/>
    <mergeCell ref="C74:H74"/>
    <mergeCell ref="H37:H40"/>
    <mergeCell ref="E99:H99"/>
    <mergeCell ref="E59:H59"/>
    <mergeCell ref="C26:H26"/>
    <mergeCell ref="H101:H104"/>
    <mergeCell ref="H29:H32"/>
    <mergeCell ref="H5:H8"/>
  </mergeCells>
  <dataValidations count="1">
    <dataValidation sqref="C3 C11 C19 C27 C35 C43 C51 C59 C67 C75 C83 C91 C99 C107 C115" showDropDown="1" showInputMessage="0" showErrorMessage="1" allowBlank="1" type="decimal" operator="lessThanOrEqual">
      <formula1>4.0</formula1>
    </dataValidation>
  </dataValidation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Camilo's PC</dc:creator>
  <dcterms:created xmlns:dcterms="http://purl.org/dc/terms/" xmlns:xsi="http://www.w3.org/2001/XMLSchema-instance" xsi:type="dcterms:W3CDTF">2026-05-04T16:39:58Z</dcterms:created>
  <dcterms:modified xmlns:dcterms="http://purl.org/dc/terms/" xmlns:xsi="http://www.w3.org/2001/XMLSchema-instance" xsi:type="dcterms:W3CDTF">2026-06-27T03:23:24Z</dcterms:modified>
</cp:coreProperties>
</file>